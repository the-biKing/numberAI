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m94\Documents\numberAI\"/>
    </mc:Choice>
  </mc:AlternateContent>
  <xr:revisionPtr revIDLastSave="0" documentId="13_ncr:1_{D02BF22A-91B9-4B01-A31D-BCDD47B1031B}" xr6:coauthVersionLast="47" xr6:coauthVersionMax="47" xr10:uidLastSave="{00000000-0000-0000-0000-000000000000}"/>
  <bookViews>
    <workbookView xWindow="-98" yWindow="-98" windowWidth="21795" windowHeight="12975" xr2:uid="{6637884C-02A6-4E8C-9587-F36CA748A09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" i="1" l="1"/>
  <c r="N18" i="1"/>
  <c r="N19" i="1"/>
  <c r="N20" i="1"/>
  <c r="N21" i="1"/>
  <c r="N22" i="1"/>
  <c r="N23" i="1"/>
  <c r="N24" i="1"/>
  <c r="M22" i="1"/>
  <c r="M23" i="1"/>
  <c r="M24" i="1"/>
  <c r="M21" i="1"/>
  <c r="M20" i="1"/>
  <c r="M19" i="1"/>
  <c r="M18" i="1"/>
  <c r="P14" i="1"/>
  <c r="P10" i="1"/>
  <c r="O10" i="1"/>
  <c r="O11" i="1"/>
  <c r="O12" i="1"/>
  <c r="O13" i="1"/>
  <c r="O14" i="1"/>
  <c r="O15" i="1"/>
  <c r="O16" i="1"/>
  <c r="O17" i="1"/>
  <c r="N10" i="1"/>
  <c r="N11" i="1"/>
  <c r="N12" i="1"/>
  <c r="N13" i="1"/>
  <c r="N14" i="1"/>
  <c r="N15" i="1"/>
  <c r="N16" i="1"/>
  <c r="N17" i="1"/>
  <c r="O3" i="1"/>
  <c r="O4" i="1"/>
  <c r="O5" i="1"/>
  <c r="O6" i="1"/>
  <c r="O7" i="1"/>
  <c r="O8" i="1"/>
  <c r="O9" i="1"/>
  <c r="O2" i="1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2" i="1"/>
  <c r="P3" i="1"/>
  <c r="P4" i="1"/>
  <c r="P5" i="1"/>
  <c r="P6" i="1"/>
  <c r="P7" i="1"/>
  <c r="P8" i="1"/>
  <c r="P9" i="1"/>
  <c r="P2" i="1"/>
</calcChain>
</file>

<file path=xl/sharedStrings.xml><?xml version="1.0" encoding="utf-8"?>
<sst xmlns="http://schemas.openxmlformats.org/spreadsheetml/2006/main" count="32" uniqueCount="20">
  <si>
    <t>version</t>
    <phoneticPr fontId="1" type="noConversion"/>
  </si>
  <si>
    <t>input_size</t>
    <phoneticPr fontId="1" type="noConversion"/>
  </si>
  <si>
    <t>1.2.1</t>
    <phoneticPr fontId="1" type="noConversion"/>
  </si>
  <si>
    <t>16*16</t>
    <phoneticPr fontId="1" type="noConversion"/>
  </si>
  <si>
    <t>28*28</t>
    <phoneticPr fontId="1" type="noConversion"/>
  </si>
  <si>
    <t>1.4.1</t>
    <phoneticPr fontId="1" type="noConversion"/>
  </si>
  <si>
    <t>1.5.1</t>
    <phoneticPr fontId="1" type="noConversion"/>
  </si>
  <si>
    <t>H1</t>
    <phoneticPr fontId="1" type="noConversion"/>
  </si>
  <si>
    <t>H2</t>
    <phoneticPr fontId="1" type="noConversion"/>
  </si>
  <si>
    <t>H3</t>
    <phoneticPr fontId="1" type="noConversion"/>
  </si>
  <si>
    <t>input maxpooling</t>
    <phoneticPr fontId="1" type="noConversion"/>
  </si>
  <si>
    <t>input convolution</t>
    <phoneticPr fontId="1" type="noConversion"/>
  </si>
  <si>
    <t>1 stride</t>
    <phoneticPr fontId="1" type="noConversion"/>
  </si>
  <si>
    <t>resnet</t>
    <phoneticPr fontId="1" type="noConversion"/>
  </si>
  <si>
    <t>v</t>
    <phoneticPr fontId="1" type="noConversion"/>
  </si>
  <si>
    <t>?</t>
    <phoneticPr fontId="1" type="noConversion"/>
  </si>
  <si>
    <t>size</t>
    <phoneticPr fontId="1" type="noConversion"/>
  </si>
  <si>
    <t>accuracy</t>
    <phoneticPr fontId="1" type="noConversion"/>
  </si>
  <si>
    <t>1 laplacian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</si>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</sst>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C9E5-31F4-41BB-833E-D7E3F68487BE}">
  <dimension ref="A1:Q24"/>
  <sheetViews>
    <sheetView tabSelected="1" zoomScale="88" zoomScaleNormal="100" workbookViewId="0">
      <pane xSplit="1" topLeftCell="B1" activePane="topRight" state="frozen"/>
      <selection pane="topRight" activeCell="A25" sqref="A25"/>
    </sheetView>
  </sheetViews>
  <sheetFormatPr defaultRowHeight="15.4" x14ac:dyDescent="0.45"/>
  <cols>
    <col min="1" max="8" width="9.06640625" style="2"/>
    <col min="9" max="9" width="15.6640625" style="2" customWidth="1"/>
    <col min="10" max="10" width="15.53125" style="2" customWidth="1"/>
    <col min="11" max="11" width="9.06640625" style="2"/>
    <col min="12" max="12" width="5.265625" style="2" customWidth="1"/>
    <col min="13" max="13" width="9.06640625" style="2"/>
    <col min="14" max="14" width="9.53125" style="2" bestFit="1" customWidth="1"/>
    <col min="15" max="16384" width="9.06640625" style="2"/>
  </cols>
  <sheetData>
    <row r="1" spans="1:17" x14ac:dyDescent="0.45">
      <c r="A1" s="1" t="s">
        <v>0</v>
      </c>
      <c r="B1" s="1" t="s">
        <v>1</v>
      </c>
      <c r="C1" s="4" t="s">
        <v>7</v>
      </c>
      <c r="D1" s="4"/>
      <c r="E1" s="4" t="s">
        <v>8</v>
      </c>
      <c r="F1" s="4"/>
      <c r="G1" s="4" t="s">
        <v>9</v>
      </c>
      <c r="H1" s="4"/>
      <c r="I1" s="1" t="s">
        <v>10</v>
      </c>
      <c r="J1" s="1" t="s">
        <v>11</v>
      </c>
      <c r="K1" s="1" t="s">
        <v>13</v>
      </c>
      <c r="L1" s="1"/>
      <c r="M1" s="1"/>
      <c r="P1" s="1" t="s">
        <v>16</v>
      </c>
      <c r="Q1" s="1" t="s">
        <v>17</v>
      </c>
    </row>
    <row r="2" spans="1:17" x14ac:dyDescent="0.45">
      <c r="A2" s="1">
        <v>1.1000000000000001</v>
      </c>
      <c r="B2" s="1" t="s">
        <v>3</v>
      </c>
      <c r="C2" s="1">
        <v>256</v>
      </c>
      <c r="D2" s="2">
        <v>32</v>
      </c>
      <c r="E2" s="2">
        <v>32</v>
      </c>
      <c r="F2" s="1">
        <v>10</v>
      </c>
      <c r="G2" s="1"/>
      <c r="M2" s="2">
        <f>C2*D2</f>
        <v>8192</v>
      </c>
      <c r="N2" s="2">
        <f>E2*F2</f>
        <v>320</v>
      </c>
      <c r="O2" s="2">
        <f>G2*H2</f>
        <v>0</v>
      </c>
      <c r="P2" s="2">
        <f>C2*D2+E2*F2+G2*H2</f>
        <v>8512</v>
      </c>
      <c r="Q2" s="2" t="s">
        <v>19</v>
      </c>
    </row>
    <row r="3" spans="1:17" x14ac:dyDescent="0.45">
      <c r="A3" s="1">
        <v>1.2</v>
      </c>
      <c r="B3" s="1" t="s">
        <v>3</v>
      </c>
      <c r="C3" s="1">
        <v>256</v>
      </c>
      <c r="D3" s="2">
        <v>32</v>
      </c>
      <c r="E3" s="2">
        <v>32</v>
      </c>
      <c r="F3" s="1">
        <v>10</v>
      </c>
      <c r="G3" s="1"/>
      <c r="M3" s="2">
        <f t="shared" ref="M3:M29" si="0">C3*D3</f>
        <v>8192</v>
      </c>
      <c r="N3" s="2">
        <f t="shared" ref="N3:N24" si="1">E3*F3</f>
        <v>320</v>
      </c>
      <c r="O3" s="2">
        <f t="shared" ref="O3:O17" si="2">G3*H3</f>
        <v>0</v>
      </c>
      <c r="P3" s="2">
        <f t="shared" ref="P3:P9" si="3">C3*D3+E3*F3+G3*H3</f>
        <v>8512</v>
      </c>
      <c r="Q3" s="2">
        <v>94.48</v>
      </c>
    </row>
    <row r="4" spans="1:17" x14ac:dyDescent="0.45">
      <c r="A4" s="1" t="s">
        <v>2</v>
      </c>
      <c r="B4" s="1" t="s">
        <v>4</v>
      </c>
      <c r="C4" s="1">
        <v>784</v>
      </c>
      <c r="D4" s="2">
        <v>36</v>
      </c>
      <c r="E4" s="2">
        <v>36</v>
      </c>
      <c r="F4" s="1">
        <v>10</v>
      </c>
      <c r="G4" s="1"/>
      <c r="M4" s="2">
        <f t="shared" si="0"/>
        <v>28224</v>
      </c>
      <c r="N4" s="2">
        <f t="shared" si="1"/>
        <v>360</v>
      </c>
      <c r="O4" s="2">
        <f t="shared" si="2"/>
        <v>0</v>
      </c>
      <c r="P4" s="2">
        <f t="shared" si="3"/>
        <v>28584</v>
      </c>
      <c r="Q4" s="2">
        <v>94.68</v>
      </c>
    </row>
    <row r="5" spans="1:17" x14ac:dyDescent="0.45">
      <c r="A5" s="1">
        <v>1.3</v>
      </c>
      <c r="B5" s="1" t="s">
        <v>3</v>
      </c>
      <c r="C5" s="1">
        <v>256</v>
      </c>
      <c r="D5" s="1">
        <v>16</v>
      </c>
      <c r="E5" s="3">
        <v>32</v>
      </c>
      <c r="F5" s="1">
        <v>10</v>
      </c>
      <c r="G5" s="3"/>
      <c r="I5" s="2">
        <v>2</v>
      </c>
      <c r="K5" s="2" t="s">
        <v>15</v>
      </c>
      <c r="M5" s="2">
        <f t="shared" si="0"/>
        <v>4096</v>
      </c>
      <c r="N5" s="2">
        <f t="shared" si="1"/>
        <v>320</v>
      </c>
      <c r="O5" s="2">
        <f t="shared" si="2"/>
        <v>0</v>
      </c>
      <c r="P5" s="2">
        <f t="shared" si="3"/>
        <v>4416</v>
      </c>
      <c r="Q5" s="2">
        <v>92.03</v>
      </c>
    </row>
    <row r="6" spans="1:17" x14ac:dyDescent="0.45">
      <c r="A6" s="1">
        <v>1.4</v>
      </c>
      <c r="B6" s="1" t="s">
        <v>3</v>
      </c>
      <c r="C6" s="1">
        <v>256</v>
      </c>
      <c r="D6" s="1">
        <v>36</v>
      </c>
      <c r="E6" s="3">
        <v>36</v>
      </c>
      <c r="F6" s="1">
        <v>10</v>
      </c>
      <c r="G6" s="3"/>
      <c r="I6" s="2">
        <v>1</v>
      </c>
      <c r="J6" s="2" t="s">
        <v>18</v>
      </c>
      <c r="K6" s="2" t="s">
        <v>14</v>
      </c>
      <c r="M6" s="2">
        <f t="shared" si="0"/>
        <v>9216</v>
      </c>
      <c r="N6" s="2">
        <f t="shared" si="1"/>
        <v>360</v>
      </c>
      <c r="O6" s="2">
        <f t="shared" si="2"/>
        <v>0</v>
      </c>
      <c r="P6" s="2">
        <f t="shared" si="3"/>
        <v>9576</v>
      </c>
      <c r="Q6" s="2">
        <v>91.79</v>
      </c>
    </row>
    <row r="7" spans="1:17" x14ac:dyDescent="0.45">
      <c r="A7" s="1" t="s">
        <v>5</v>
      </c>
      <c r="B7" s="1" t="s">
        <v>4</v>
      </c>
      <c r="C7" s="1">
        <v>784</v>
      </c>
      <c r="D7" s="1">
        <v>49</v>
      </c>
      <c r="E7" s="3">
        <v>49</v>
      </c>
      <c r="F7" s="1">
        <v>10</v>
      </c>
      <c r="G7" s="3"/>
      <c r="I7" s="2">
        <v>2</v>
      </c>
      <c r="K7" s="2" t="s">
        <v>14</v>
      </c>
      <c r="M7" s="2">
        <f t="shared" si="0"/>
        <v>38416</v>
      </c>
      <c r="N7" s="2">
        <f t="shared" si="1"/>
        <v>490</v>
      </c>
      <c r="O7" s="2">
        <f t="shared" si="2"/>
        <v>0</v>
      </c>
      <c r="P7" s="2">
        <f t="shared" si="3"/>
        <v>38906</v>
      </c>
      <c r="Q7" s="2">
        <v>94.06</v>
      </c>
    </row>
    <row r="8" spans="1:17" x14ac:dyDescent="0.45">
      <c r="A8" s="1">
        <v>1.5</v>
      </c>
      <c r="B8" s="1" t="s">
        <v>4</v>
      </c>
      <c r="C8" s="1">
        <v>784</v>
      </c>
      <c r="D8" s="1">
        <v>196</v>
      </c>
      <c r="E8" s="1">
        <v>196</v>
      </c>
      <c r="F8" s="1">
        <v>49</v>
      </c>
      <c r="G8" s="1">
        <v>49</v>
      </c>
      <c r="H8" s="1">
        <v>10</v>
      </c>
      <c r="M8" s="2">
        <f t="shared" si="0"/>
        <v>153664</v>
      </c>
      <c r="N8" s="2">
        <f t="shared" si="1"/>
        <v>9604</v>
      </c>
      <c r="O8" s="2">
        <f t="shared" si="2"/>
        <v>490</v>
      </c>
      <c r="P8" s="2">
        <f t="shared" si="3"/>
        <v>163758</v>
      </c>
      <c r="Q8" s="2">
        <v>97.62</v>
      </c>
    </row>
    <row r="9" spans="1:17" x14ac:dyDescent="0.45">
      <c r="A9" s="1" t="s">
        <v>6</v>
      </c>
      <c r="B9" s="1" t="s">
        <v>4</v>
      </c>
      <c r="C9" s="1">
        <v>784</v>
      </c>
      <c r="D9" s="1">
        <v>196</v>
      </c>
      <c r="E9" s="1">
        <v>196</v>
      </c>
      <c r="F9" s="1">
        <v>49</v>
      </c>
      <c r="G9" s="3">
        <v>49</v>
      </c>
      <c r="H9" s="1">
        <v>10</v>
      </c>
      <c r="I9" s="2">
        <v>2</v>
      </c>
      <c r="K9" s="2" t="s">
        <v>14</v>
      </c>
      <c r="M9" s="2">
        <f t="shared" si="0"/>
        <v>153664</v>
      </c>
      <c r="N9" s="2">
        <f t="shared" si="1"/>
        <v>9604</v>
      </c>
      <c r="O9" s="2">
        <f t="shared" si="2"/>
        <v>490</v>
      </c>
      <c r="P9" s="2">
        <f t="shared" si="3"/>
        <v>163758</v>
      </c>
      <c r="Q9" s="2">
        <v>97</v>
      </c>
    </row>
    <row r="10" spans="1:17" x14ac:dyDescent="0.45">
      <c r="A10" s="4">
        <v>1.6</v>
      </c>
      <c r="B10" s="4" t="s">
        <v>4</v>
      </c>
      <c r="C10" s="1">
        <v>784</v>
      </c>
      <c r="D10" s="1">
        <v>28</v>
      </c>
      <c r="E10" s="1">
        <v>112</v>
      </c>
      <c r="F10" s="1">
        <v>10</v>
      </c>
      <c r="G10" s="1"/>
      <c r="M10" s="2">
        <f t="shared" si="0"/>
        <v>21952</v>
      </c>
      <c r="N10" s="2">
        <f t="shared" si="1"/>
        <v>1120</v>
      </c>
      <c r="O10" s="2">
        <f t="shared" si="2"/>
        <v>0</v>
      </c>
      <c r="P10" s="2">
        <f>SUM(M10:O13)</f>
        <v>29036</v>
      </c>
      <c r="Q10" s="2">
        <v>95.62</v>
      </c>
    </row>
    <row r="11" spans="1:17" x14ac:dyDescent="0.45">
      <c r="A11" s="4"/>
      <c r="B11" s="4"/>
      <c r="C11" s="1">
        <v>392</v>
      </c>
      <c r="D11" s="1">
        <v>14</v>
      </c>
      <c r="E11" s="1"/>
      <c r="F11" s="1"/>
      <c r="G11" s="1"/>
      <c r="M11" s="2">
        <f t="shared" si="0"/>
        <v>5488</v>
      </c>
      <c r="N11" s="2">
        <f t="shared" si="1"/>
        <v>0</v>
      </c>
      <c r="O11" s="2">
        <f t="shared" si="2"/>
        <v>0</v>
      </c>
    </row>
    <row r="12" spans="1:17" x14ac:dyDescent="0.45">
      <c r="A12" s="4"/>
      <c r="B12" s="4"/>
      <c r="C12" s="1">
        <v>112</v>
      </c>
      <c r="D12" s="1">
        <v>4</v>
      </c>
      <c r="E12" s="1"/>
      <c r="F12" s="1"/>
      <c r="G12" s="1"/>
      <c r="M12" s="2">
        <f t="shared" si="0"/>
        <v>448</v>
      </c>
      <c r="N12" s="2">
        <f t="shared" si="1"/>
        <v>0</v>
      </c>
      <c r="O12" s="2">
        <f t="shared" si="2"/>
        <v>0</v>
      </c>
    </row>
    <row r="13" spans="1:17" x14ac:dyDescent="0.45">
      <c r="A13" s="4"/>
      <c r="B13" s="4"/>
      <c r="C13" s="1">
        <v>28</v>
      </c>
      <c r="D13" s="1">
        <v>1</v>
      </c>
      <c r="E13" s="1"/>
      <c r="F13" s="1"/>
      <c r="G13" s="1"/>
      <c r="M13" s="2">
        <f t="shared" si="0"/>
        <v>28</v>
      </c>
      <c r="N13" s="2">
        <f t="shared" si="1"/>
        <v>0</v>
      </c>
      <c r="O13" s="2">
        <f t="shared" si="2"/>
        <v>0</v>
      </c>
    </row>
    <row r="14" spans="1:17" x14ac:dyDescent="0.45">
      <c r="A14" s="4">
        <v>1.7</v>
      </c>
      <c r="B14" s="4" t="s">
        <v>4</v>
      </c>
      <c r="C14" s="1">
        <v>784</v>
      </c>
      <c r="D14" s="1">
        <v>28</v>
      </c>
      <c r="E14" s="1">
        <v>112</v>
      </c>
      <c r="F14" s="1">
        <v>49</v>
      </c>
      <c r="G14" s="3">
        <v>49</v>
      </c>
      <c r="H14" s="1">
        <v>10</v>
      </c>
      <c r="J14" s="1" t="s">
        <v>12</v>
      </c>
      <c r="K14" s="2" t="s">
        <v>14</v>
      </c>
      <c r="M14" s="2">
        <f t="shared" si="0"/>
        <v>21952</v>
      </c>
      <c r="N14" s="2">
        <f t="shared" si="1"/>
        <v>5488</v>
      </c>
      <c r="O14" s="2">
        <f t="shared" si="2"/>
        <v>490</v>
      </c>
      <c r="P14" s="2">
        <f>SUM(M14:O17)</f>
        <v>33894</v>
      </c>
      <c r="Q14" s="2">
        <v>96.96</v>
      </c>
    </row>
    <row r="15" spans="1:17" x14ac:dyDescent="0.45">
      <c r="A15" s="4"/>
      <c r="B15" s="4"/>
      <c r="C15" s="1">
        <v>392</v>
      </c>
      <c r="D15" s="1">
        <v>14</v>
      </c>
      <c r="E15" s="1"/>
      <c r="F15" s="1"/>
      <c r="G15" s="1"/>
      <c r="H15" s="3"/>
      <c r="J15" s="1"/>
      <c r="M15" s="2">
        <f t="shared" si="0"/>
        <v>5488</v>
      </c>
      <c r="N15" s="2">
        <f t="shared" si="1"/>
        <v>0</v>
      </c>
      <c r="O15" s="2">
        <f t="shared" si="2"/>
        <v>0</v>
      </c>
    </row>
    <row r="16" spans="1:17" x14ac:dyDescent="0.45">
      <c r="A16" s="4"/>
      <c r="B16" s="4"/>
      <c r="C16" s="1">
        <v>112</v>
      </c>
      <c r="D16" s="1">
        <v>4</v>
      </c>
      <c r="E16" s="1"/>
      <c r="F16" s="1"/>
      <c r="G16" s="1"/>
      <c r="H16" s="3"/>
      <c r="J16" s="1"/>
      <c r="M16" s="2">
        <f t="shared" si="0"/>
        <v>448</v>
      </c>
      <c r="N16" s="2">
        <f t="shared" si="1"/>
        <v>0</v>
      </c>
      <c r="O16" s="2">
        <f t="shared" si="2"/>
        <v>0</v>
      </c>
    </row>
    <row r="17" spans="1:17" x14ac:dyDescent="0.45">
      <c r="A17" s="4"/>
      <c r="B17" s="4"/>
      <c r="C17" s="1">
        <v>28</v>
      </c>
      <c r="D17" s="1">
        <v>1</v>
      </c>
      <c r="E17" s="1"/>
      <c r="F17" s="1"/>
      <c r="G17" s="1"/>
      <c r="H17" s="3"/>
      <c r="J17" s="1"/>
      <c r="M17" s="2">
        <f t="shared" si="0"/>
        <v>28</v>
      </c>
      <c r="N17" s="2">
        <f t="shared" si="1"/>
        <v>0</v>
      </c>
      <c r="O17" s="2">
        <f t="shared" si="2"/>
        <v>0</v>
      </c>
    </row>
    <row r="18" spans="1:17" x14ac:dyDescent="0.45">
      <c r="A18" s="2">
        <v>1.8</v>
      </c>
      <c r="B18" s="2" t="s">
        <v>4</v>
      </c>
      <c r="C18" s="2">
        <v>784</v>
      </c>
      <c r="D18" s="2">
        <v>28</v>
      </c>
      <c r="E18" s="2">
        <v>196</v>
      </c>
      <c r="F18" s="2">
        <v>10</v>
      </c>
      <c r="M18" s="2">
        <f t="shared" si="0"/>
        <v>21952</v>
      </c>
      <c r="N18" s="2">
        <f t="shared" si="1"/>
        <v>1960</v>
      </c>
      <c r="P18" s="2">
        <f>SUM(M18:N24)</f>
        <v>24416</v>
      </c>
      <c r="Q18" s="2">
        <v>95.14</v>
      </c>
    </row>
    <row r="19" spans="1:17" x14ac:dyDescent="0.45">
      <c r="C19" s="2">
        <v>28</v>
      </c>
      <c r="D19" s="2">
        <v>4</v>
      </c>
      <c r="M19" s="2">
        <f t="shared" si="0"/>
        <v>112</v>
      </c>
      <c r="N19" s="2">
        <f t="shared" si="1"/>
        <v>0</v>
      </c>
    </row>
    <row r="20" spans="1:17" x14ac:dyDescent="0.45">
      <c r="C20" s="2">
        <v>28</v>
      </c>
      <c r="D20" s="2">
        <v>4</v>
      </c>
      <c r="M20" s="2">
        <f t="shared" si="0"/>
        <v>112</v>
      </c>
      <c r="N20" s="2">
        <f t="shared" si="1"/>
        <v>0</v>
      </c>
    </row>
    <row r="21" spans="1:17" x14ac:dyDescent="0.45">
      <c r="C21" s="2">
        <v>28</v>
      </c>
      <c r="D21" s="2">
        <v>4</v>
      </c>
      <c r="M21" s="2">
        <f t="shared" si="0"/>
        <v>112</v>
      </c>
      <c r="N21" s="2">
        <f t="shared" si="1"/>
        <v>0</v>
      </c>
    </row>
    <row r="22" spans="1:17" x14ac:dyDescent="0.45">
      <c r="C22" s="2">
        <v>28</v>
      </c>
      <c r="D22" s="2">
        <v>4</v>
      </c>
      <c r="M22" s="2">
        <f t="shared" si="0"/>
        <v>112</v>
      </c>
      <c r="N22" s="2">
        <f t="shared" si="1"/>
        <v>0</v>
      </c>
    </row>
    <row r="23" spans="1:17" x14ac:dyDescent="0.45">
      <c r="C23" s="2">
        <v>14</v>
      </c>
      <c r="D23" s="2">
        <v>2</v>
      </c>
      <c r="M23" s="2">
        <f t="shared" si="0"/>
        <v>28</v>
      </c>
      <c r="N23" s="2">
        <f t="shared" si="1"/>
        <v>0</v>
      </c>
    </row>
    <row r="24" spans="1:17" x14ac:dyDescent="0.45">
      <c r="C24" s="2">
        <v>14</v>
      </c>
      <c r="D24" s="2">
        <v>2</v>
      </c>
      <c r="M24" s="2">
        <f t="shared" si="0"/>
        <v>28</v>
      </c>
      <c r="N24" s="2">
        <f t="shared" si="1"/>
        <v>0</v>
      </c>
    </row>
  </sheetData>
  <mergeCells count="7">
    <mergeCell ref="A14:A17"/>
    <mergeCell ref="B14:B17"/>
    <mergeCell ref="C1:D1"/>
    <mergeCell ref="E1:F1"/>
    <mergeCell ref="G1:H1"/>
    <mergeCell ref="B10:B13"/>
    <mergeCell ref="A10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建軒 楊</dc:creator>
  <cp:lastModifiedBy>建軒 楊</cp:lastModifiedBy>
  <dcterms:created xsi:type="dcterms:W3CDTF">2026-05-14T11:47:26Z</dcterms:created>
  <dcterms:modified xsi:type="dcterms:W3CDTF">2026-05-15T12:22:11Z</dcterms:modified>
</cp:coreProperties>
</file>